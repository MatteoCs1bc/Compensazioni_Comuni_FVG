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Cooperazione\03927_UC_POWERUP\03927_UC_WP3 Contextual framework\T3.2 Social context and attitudes - ISCTE\Impianti oltre 1 MW_Regione FVG\"/>
    </mc:Choice>
  </mc:AlternateContent>
  <xr:revisionPtr revIDLastSave="0" documentId="13_ncr:1_{A9EC33D3-625B-4498-9E88-15EDBABAE37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Database progetti" sheetId="1" r:id="rId1"/>
    <sheet name="Comuni target" sheetId="2" r:id="rId2"/>
    <sheet name="Relazione Comune-Progetto" sheetId="3" r:id="rId3"/>
    <sheet name="Sintesi" sheetId="4" r:id="rId4"/>
    <sheet name="Istruzioni" sheetId="5" r:id="rId5"/>
  </sheets>
  <definedNames>
    <definedName name="_xlnm._FilterDatabase" localSheetId="1" hidden="1">'Comuni target'!$B$1:$I$26</definedName>
    <definedName name="_xlnm._FilterDatabase" localSheetId="0" hidden="1">'Database progetti'!$B$1:$P$23</definedName>
    <definedName name="_xlnm._FilterDatabase" localSheetId="4" hidden="1">Istruzioni!$A$1:$B$8</definedName>
    <definedName name="_xlnm._FilterDatabase" localSheetId="2" hidden="1">'Relazione Comune-Progetto'!$A$1:$I$31</definedName>
    <definedName name="_xlnm._FilterDatabase" localSheetId="3" hidden="1">Sintesi!$A$1:$B$10</definedName>
    <definedName name="_xlnm.Print_Area" localSheetId="1">'Comuni target'!$A$1:$G$26</definedName>
  </definedNames>
  <calcPr calcId="191029"/>
</workbook>
</file>

<file path=xl/calcChain.xml><?xml version="1.0" encoding="utf-8"?>
<calcChain xmlns="http://schemas.openxmlformats.org/spreadsheetml/2006/main">
  <c r="E26" i="2" l="1"/>
</calcChain>
</file>

<file path=xl/sharedStrings.xml><?xml version="1.0" encoding="utf-8"?>
<sst xmlns="http://schemas.openxmlformats.org/spreadsheetml/2006/main" count="578" uniqueCount="195">
  <si>
    <t>ID progetto</t>
  </si>
  <si>
    <t>Data autorizzazione</t>
  </si>
  <si>
    <t>Nome impianto/progetto</t>
  </si>
  <si>
    <t>Comune/i sede impianto</t>
  </si>
  <si>
    <t>Provincia</t>
  </si>
  <si>
    <t>Tipologia</t>
  </si>
  <si>
    <t>Potenza (MW)</t>
  </si>
  <si>
    <t>Numero decreto</t>
  </si>
  <si>
    <t>Proponente</t>
  </si>
  <si>
    <t>Fonte BUR</t>
  </si>
  <si>
    <t>Stato verifica</t>
  </si>
  <si>
    <t>Note</t>
  </si>
  <si>
    <t>Anno</t>
  </si>
  <si>
    <t>Soglia ≥1 MW</t>
  </si>
  <si>
    <t>Priorità commerciale</t>
  </si>
  <si>
    <t>FVG-2025-001</t>
  </si>
  <si>
    <t>Impianto fotovoltaico Via Nazionale</t>
  </si>
  <si>
    <t>Moimacco</t>
  </si>
  <si>
    <t>UD</t>
  </si>
  <si>
    <t>FV + accumulo</t>
  </si>
  <si>
    <t>230/GRFVG</t>
  </si>
  <si>
    <t>X-Elio Moimacco Srl</t>
  </si>
  <si>
    <t>BUR n. 5 del 29/01/2025</t>
  </si>
  <si>
    <t>Verificato</t>
  </si>
  <si>
    <t>Accumulo 5 MW; AU nuova.</t>
  </si>
  <si>
    <t>Attenzione</t>
  </si>
  <si>
    <t>FVG-2025-002</t>
  </si>
  <si>
    <t>Cividina</t>
  </si>
  <si>
    <t>Tavagnacco</t>
  </si>
  <si>
    <t>FV</t>
  </si>
  <si>
    <t>4757</t>
  </si>
  <si>
    <t>Fineuro Srl</t>
  </si>
  <si>
    <t>BUR n. 8 del 19/02/2025</t>
  </si>
  <si>
    <t>8,35 MWp; 8,25 MW nominali di immissione.</t>
  </si>
  <si>
    <t>FVG-2025-003</t>
  </si>
  <si>
    <t>Impianto fotovoltaico località Risano</t>
  </si>
  <si>
    <t>Pavia di Udine</t>
  </si>
  <si>
    <t>18458/GRFVG</t>
  </si>
  <si>
    <t>Sunprime Solar Belt Srl</t>
  </si>
  <si>
    <t>BUR n. 17 del 23/04/2025</t>
  </si>
  <si>
    <t>Potenza nominale 4.356 kW.</t>
  </si>
  <si>
    <t>Monitoraggio</t>
  </si>
  <si>
    <t>FVG-2025-004</t>
  </si>
  <si>
    <t>PNRR Hydrogen Hub Trieste</t>
  </si>
  <si>
    <t>Trieste</t>
  </si>
  <si>
    <t>TS</t>
  </si>
  <si>
    <t>FV + idrogeno</t>
  </si>
  <si>
    <t>18459/GRFVG</t>
  </si>
  <si>
    <t>AcegasApsAmga Spa</t>
  </si>
  <si>
    <t>FV 4,85 MWe associato a impianto H2 da 5 MW.</t>
  </si>
  <si>
    <t>FVG-2025-005</t>
  </si>
  <si>
    <t>Impianto agrivoltaico Precenicco</t>
  </si>
  <si>
    <t>Precenicco</t>
  </si>
  <si>
    <t>Agrivoltaico</t>
  </si>
  <si>
    <t>BUR n. 23 del 04/06/2025</t>
  </si>
  <si>
    <t>Da ricontrollare</t>
  </si>
  <si>
    <t>AU individuata nella ricognizione; numero decreto da completare.</t>
  </si>
  <si>
    <t>FVG-2025-006</t>
  </si>
  <si>
    <t>Trivignano Solar 1</t>
  </si>
  <si>
    <t>Pradamano; Trivignano Udinese; Palmanova</t>
  </si>
  <si>
    <t>BUR n. 28 del 09/07/2025</t>
  </si>
  <si>
    <t>Progetto multi-comune; non ripartire la potenza sui Comuni.</t>
  </si>
  <si>
    <t>Alta attenzione</t>
  </si>
  <si>
    <t>FVG-2025-007</t>
  </si>
  <si>
    <t>Impianto agrivoltaico Carlino–San Giorgio</t>
  </si>
  <si>
    <t>Carlino; San Giorgio di Nogaro</t>
  </si>
  <si>
    <t>FVG-2025-008</t>
  </si>
  <si>
    <t>Impianto F.lli Rabbiosi</t>
  </si>
  <si>
    <t>Talmassons</t>
  </si>
  <si>
    <t>Numero decreto da completare.</t>
  </si>
  <si>
    <t>FVG-2025-009</t>
  </si>
  <si>
    <t>Cimpello</t>
  </si>
  <si>
    <t>Fiume Veneto</t>
  </si>
  <si>
    <t>PN</t>
  </si>
  <si>
    <t>BUR n. 33 del 13/08/2025</t>
  </si>
  <si>
    <t>Ricognizione indica 2 lotti; potenza complessiva 11,2 MW.</t>
  </si>
  <si>
    <t>FVG-2025-010</t>
  </si>
  <si>
    <t>Campolongo Tapogliano Solar 1</t>
  </si>
  <si>
    <t>Campolongo Tapogliano</t>
  </si>
  <si>
    <t>BUR n. 38 del 17/09/2025</t>
  </si>
  <si>
    <t>FVG-2025-011</t>
  </si>
  <si>
    <t>Bosco Moleco</t>
  </si>
  <si>
    <t>Aquileia</t>
  </si>
  <si>
    <t>BUR n. 47 del 19/11/2025</t>
  </si>
  <si>
    <t>Procedura ambientale originaria del 2024; AU considerata nuova nel 2025.</t>
  </si>
  <si>
    <t>FVG-2025-012</t>
  </si>
  <si>
    <t>Impianto fotovoltaico Via Piramidi</t>
  </si>
  <si>
    <t>Sesto al Reghena</t>
  </si>
  <si>
    <t>58025</t>
  </si>
  <si>
    <t>Sesto Solar Srl</t>
  </si>
  <si>
    <t>BUR n. 48 del 26/11/2025</t>
  </si>
  <si>
    <t>Potenza nominale 18.702,24 kWe.</t>
  </si>
  <si>
    <t>FVG-2025-013</t>
  </si>
  <si>
    <t>Impianto agrivoltaico NPD</t>
  </si>
  <si>
    <t>Sesto al Reghena; Chions</t>
  </si>
  <si>
    <t>BUR n. 2 del 14/01/2026</t>
  </si>
  <si>
    <t>AU del 2025, pubblicata nel BUR di gennaio 2026 secondo la ricognizione.</t>
  </si>
  <si>
    <t>FVG-2025-014</t>
  </si>
  <si>
    <t>Impianto fotovoltaico Martignacco</t>
  </si>
  <si>
    <t>Martignacco</t>
  </si>
  <si>
    <t>BUR n. 53 del 31/12/2025</t>
  </si>
  <si>
    <t>FVG-2025-015</t>
  </si>
  <si>
    <t>Impianto Fossalon</t>
  </si>
  <si>
    <t>Grado</t>
  </si>
  <si>
    <t>GO</t>
  </si>
  <si>
    <t>Include accumulo.</t>
  </si>
  <si>
    <t>FVG-2025-016</t>
  </si>
  <si>
    <t>Impianto agrivoltaico Trivignano</t>
  </si>
  <si>
    <t>Trivignano Udinese; Santa Maria La Longa; Pavia di Udine</t>
  </si>
  <si>
    <t>FVG-2025-017</t>
  </si>
  <si>
    <t>Impianto fotovoltaico Torviscosa</t>
  </si>
  <si>
    <t>Torviscosa</t>
  </si>
  <si>
    <t>BUR n. 1 del 07/01/2026</t>
  </si>
  <si>
    <t>AU 2025, pubblicazione nel BUR 2026 secondo la ricognizione.</t>
  </si>
  <si>
    <t>FVG-2026-001</t>
  </si>
  <si>
    <t>PV10 Prati del Torre Sud</t>
  </si>
  <si>
    <t>Udine</t>
  </si>
  <si>
    <t>4794/GRFVG</t>
  </si>
  <si>
    <t>PVK Srl</t>
  </si>
  <si>
    <t>BUR n. 7 del 18/02/2026</t>
  </si>
  <si>
    <t>AU nuova; potenza 1,814 MW.</t>
  </si>
  <si>
    <t>FVG-2026-002</t>
  </si>
  <si>
    <t>Prati di Prasingel</t>
  </si>
  <si>
    <t>BUR n. 11 del 18/03/2026</t>
  </si>
  <si>
    <t>FVG-2026-003</t>
  </si>
  <si>
    <t>Impianto fotovoltaico Zoppola</t>
  </si>
  <si>
    <t>Zoppola</t>
  </si>
  <si>
    <t>BUR n. 16 del 22/04/2026</t>
  </si>
  <si>
    <t>FVG-2026-004</t>
  </si>
  <si>
    <t>Boscat</t>
  </si>
  <si>
    <t>Grado; Aquileia</t>
  </si>
  <si>
    <t>Agrivoltaico + accumulo</t>
  </si>
  <si>
    <t>BUR n. 25 del 24/06/2026</t>
  </si>
  <si>
    <t>Progetto multi-comune; include accumulo.</t>
  </si>
  <si>
    <t>FVG-2026-005</t>
  </si>
  <si>
    <t>Sunflo Cava Acco Superiore</t>
  </si>
  <si>
    <t>Castions di Strada; Talmassons</t>
  </si>
  <si>
    <t>FV flottante</t>
  </si>
  <si>
    <t>Potenza indicata nella ricognizione: 7,36 MWp.</t>
  </si>
  <si>
    <t>Comune</t>
  </si>
  <si>
    <t>N. progetti ≥1 MW</t>
  </si>
  <si>
    <t>Potenza dei progetti interessanti il Comune (MW)*</t>
  </si>
  <si>
    <t>Progetti ≥10 MW</t>
  </si>
  <si>
    <t>Agrivoltaico presente</t>
  </si>
  <si>
    <t>Ultima AU</t>
  </si>
  <si>
    <t>Progetti</t>
  </si>
  <si>
    <t>Sì</t>
  </si>
  <si>
    <t>No</t>
  </si>
  <si>
    <t>Carlino</t>
  </si>
  <si>
    <t>Castions di Strada</t>
  </si>
  <si>
    <t>Chions</t>
  </si>
  <si>
    <t>FVG-2025-015, FVG-2026-004</t>
  </si>
  <si>
    <t>Palmanova</t>
  </si>
  <si>
    <t>FVG-2025-003, FVG-2025-016</t>
  </si>
  <si>
    <t>Pradamano</t>
  </si>
  <si>
    <t>San Giorgio di Nogaro</t>
  </si>
  <si>
    <t>Santa Maria La Longa</t>
  </si>
  <si>
    <t>FVG-2025-012, FVG-2025-013</t>
  </si>
  <si>
    <t>FVG-2025-008, FVG-2026-005</t>
  </si>
  <si>
    <t>Trivignano Udinese</t>
  </si>
  <si>
    <t>FVG-2025-006, FVG-2025-016</t>
  </si>
  <si>
    <t>FVG-2026-001, FVG-2026-002</t>
  </si>
  <si>
    <t>Impianto/progetto</t>
  </si>
  <si>
    <t>Data AU</t>
  </si>
  <si>
    <t>Potenza progetto (MW)</t>
  </si>
  <si>
    <t>Ruolo territoriale</t>
  </si>
  <si>
    <t>Comune sede impianto</t>
  </si>
  <si>
    <t>Indicatore</t>
  </si>
  <si>
    <t>Valore</t>
  </si>
  <si>
    <t>Periodo analizzato</t>
  </si>
  <si>
    <t>01/01/2025–01/10/2026</t>
  </si>
  <si>
    <t>Progetti censiti ≥1 MW</t>
  </si>
  <si>
    <t>Potenza complessiva censita (MW)</t>
  </si>
  <si>
    <t>Progetti 2025</t>
  </si>
  <si>
    <t>Potenza 2025 (MW)</t>
  </si>
  <si>
    <t>Progetti 2026 (fino a 01/10/2026)</t>
  </si>
  <si>
    <t>Potenza 2026 (MW)</t>
  </si>
  <si>
    <t>Progetti multi-comune</t>
  </si>
  <si>
    <t>Nota metodologica</t>
  </si>
  <si>
    <t>Censimento operativo basato su AU pubblicate nel BUR FVG e sulla ricognizione documentale; i record 'Da ricontrollare' richiedono completamento del numero decreto/atto prima dell'uso formale.</t>
  </si>
  <si>
    <t>DATABASE COMMERCIALE – IMPIANTI ≥1 MW FVG</t>
  </si>
  <si>
    <t>Finalità</t>
  </si>
  <si>
    <t>Supporto alla selezione dei Comuni potenzialmente interessati da misure di compensazione e servizi tecnici/economici.</t>
  </si>
  <si>
    <t>Perimetro</t>
  </si>
  <si>
    <t>Autorizzazioni uniche per impianti FV/agrivoltaici ≥1 MW con data di autorizzazione dal 01/01/2025 al 01/10/2026, sulla base della ricognizione effettuata.</t>
  </si>
  <si>
    <t>Regola di conteggio</t>
  </si>
  <si>
    <t>Un progetto = una sola riga nel foglio 'Database progetti'. I progetti multi-comune NON devono essere sommati una volta per ciascun Comune.</t>
  </si>
  <si>
    <t>Foglio Comuni target</t>
  </si>
  <si>
    <t>Elenca i Comuni interessati e il numero di progetti. La potenza riportata è la potenza dei progetti che interessano il Comune, ma non va sommata tra Comuni per ottenere il totale regionale.</t>
  </si>
  <si>
    <t>'Verificato' = atto e dati principali riscontrati direttamente in fonte BUR. 'Da ricontrollare' = record derivato dalla ricognizione precedente, da completare con decreto/atto prima dell'uso formale.</t>
  </si>
  <si>
    <t>Fonte primaria</t>
  </si>
  <si>
    <t>Bollettino Ufficiale della Regione Autonoma Friuli Venezia Giulia (BUR FVG).</t>
  </si>
  <si>
    <t>Cautela commerciale</t>
  </si>
  <si>
    <t>Prima di inviare un'offerta o una comunicazione formale, verificare l'eventuale presenza di modifiche, revoche, proroghe, volture o precedenti autorizzazioni del medesimo progetto.</t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</si>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</sst>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1" xfId="0" applyNumberFormat="1" applyBorder="1" applyAlignment="1">
      <alignment vertical="top" wrapText="1"/>
    </xf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pane ySplit="1" topLeftCell="A8" activePane="bottomLeft" state="frozen"/>
      <selection pane="bottomLeft" activeCell="E11" sqref="E11"/>
    </sheetView>
  </sheetViews>
  <sheetFormatPr defaultRowHeight="15" x14ac:dyDescent="0.25"/>
  <cols>
    <col min="1" max="1" width="4.42578125" style="8" customWidth="1"/>
    <col min="2" max="2" width="14" customWidth="1"/>
    <col min="3" max="3" width="21" customWidth="1"/>
    <col min="4" max="4" width="43" customWidth="1"/>
    <col min="5" max="5" width="45" customWidth="1"/>
    <col min="6" max="6" width="12" customWidth="1"/>
    <col min="7" max="7" width="25" customWidth="1"/>
    <col min="8" max="8" width="14" customWidth="1"/>
    <col min="9" max="9" width="16" customWidth="1"/>
    <col min="10" max="10" width="25" customWidth="1"/>
    <col min="11" max="11" width="26" customWidth="1"/>
    <col min="12" max="12" width="18" customWidth="1"/>
    <col min="13" max="13" width="45" customWidth="1"/>
    <col min="14" max="14" width="12" customWidth="1"/>
    <col min="15" max="15" width="14" customWidth="1"/>
    <col min="16" max="16" width="22" customWidth="1"/>
  </cols>
  <sheetData>
    <row r="1" spans="1:16" x14ac:dyDescent="0.25">
      <c r="A1" s="7" t="s">
        <v>194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30" x14ac:dyDescent="0.25">
      <c r="A2" s="8">
        <v>11</v>
      </c>
      <c r="B2" s="2" t="s">
        <v>80</v>
      </c>
      <c r="C2" s="3">
        <v>45961</v>
      </c>
      <c r="D2" s="2" t="s">
        <v>81</v>
      </c>
      <c r="E2" s="2" t="s">
        <v>82</v>
      </c>
      <c r="F2" s="2" t="s">
        <v>18</v>
      </c>
      <c r="G2" s="2" t="s">
        <v>29</v>
      </c>
      <c r="H2" s="4">
        <v>8.75</v>
      </c>
      <c r="I2" s="2"/>
      <c r="J2" s="2" t="s">
        <v>31</v>
      </c>
      <c r="K2" s="2" t="s">
        <v>83</v>
      </c>
      <c r="L2" s="6" t="s">
        <v>55</v>
      </c>
      <c r="M2" s="2" t="s">
        <v>84</v>
      </c>
      <c r="N2" s="2">
        <v>2025</v>
      </c>
      <c r="O2" s="2" t="b">
        <v>1</v>
      </c>
      <c r="P2" s="2" t="s">
        <v>25</v>
      </c>
    </row>
    <row r="3" spans="1:16" x14ac:dyDescent="0.25">
      <c r="A3" s="8">
        <v>10</v>
      </c>
      <c r="B3" s="2" t="s">
        <v>76</v>
      </c>
      <c r="C3" s="3">
        <v>45888</v>
      </c>
      <c r="D3" s="2" t="s">
        <v>77</v>
      </c>
      <c r="E3" s="2" t="s">
        <v>78</v>
      </c>
      <c r="F3" s="2" t="s">
        <v>18</v>
      </c>
      <c r="G3" s="2" t="s">
        <v>53</v>
      </c>
      <c r="H3" s="4">
        <v>5.1159999999999997</v>
      </c>
      <c r="I3" s="2"/>
      <c r="J3" s="2"/>
      <c r="K3" s="2" t="s">
        <v>79</v>
      </c>
      <c r="L3" s="6" t="s">
        <v>55</v>
      </c>
      <c r="M3" s="2" t="s">
        <v>69</v>
      </c>
      <c r="N3" s="2">
        <v>2025</v>
      </c>
      <c r="O3" s="2" t="b">
        <v>1</v>
      </c>
      <c r="P3" s="2" t="s">
        <v>25</v>
      </c>
    </row>
    <row r="4" spans="1:16" ht="30" x14ac:dyDescent="0.25">
      <c r="A4" s="8">
        <v>7</v>
      </c>
      <c r="B4" s="2" t="s">
        <v>63</v>
      </c>
      <c r="C4" s="3">
        <v>45834</v>
      </c>
      <c r="D4" s="2" t="s">
        <v>64</v>
      </c>
      <c r="E4" s="2" t="s">
        <v>65</v>
      </c>
      <c r="F4" s="2" t="s">
        <v>18</v>
      </c>
      <c r="G4" s="2" t="s">
        <v>53</v>
      </c>
      <c r="H4" s="4">
        <v>18.71</v>
      </c>
      <c r="I4" s="2"/>
      <c r="J4" s="2"/>
      <c r="K4" s="2" t="s">
        <v>60</v>
      </c>
      <c r="L4" s="6" t="s">
        <v>55</v>
      </c>
      <c r="M4" s="2" t="s">
        <v>61</v>
      </c>
      <c r="N4" s="2">
        <v>2025</v>
      </c>
      <c r="O4" s="2" t="b">
        <v>1</v>
      </c>
      <c r="P4" s="2" t="s">
        <v>62</v>
      </c>
    </row>
    <row r="5" spans="1:16" x14ac:dyDescent="0.25">
      <c r="A5" s="8">
        <v>22</v>
      </c>
      <c r="B5" s="2" t="s">
        <v>134</v>
      </c>
      <c r="C5" s="3">
        <v>46197</v>
      </c>
      <c r="D5" s="2" t="s">
        <v>135</v>
      </c>
      <c r="E5" s="2" t="s">
        <v>136</v>
      </c>
      <c r="F5" s="2" t="s">
        <v>18</v>
      </c>
      <c r="G5" s="2" t="s">
        <v>137</v>
      </c>
      <c r="H5" s="4">
        <v>7.36</v>
      </c>
      <c r="I5" s="2"/>
      <c r="J5" s="2"/>
      <c r="K5" s="2" t="s">
        <v>132</v>
      </c>
      <c r="L5" s="6" t="s">
        <v>55</v>
      </c>
      <c r="M5" s="2" t="s">
        <v>138</v>
      </c>
      <c r="N5" s="2">
        <v>2026</v>
      </c>
      <c r="O5" s="2" t="b">
        <v>1</v>
      </c>
      <c r="P5" s="2" t="s">
        <v>62</v>
      </c>
    </row>
    <row r="6" spans="1:16" ht="30" x14ac:dyDescent="0.25">
      <c r="A6" s="8">
        <v>9</v>
      </c>
      <c r="B6" s="2" t="s">
        <v>70</v>
      </c>
      <c r="C6" s="3">
        <v>45868</v>
      </c>
      <c r="D6" s="2" t="s">
        <v>71</v>
      </c>
      <c r="E6" s="2" t="s">
        <v>72</v>
      </c>
      <c r="F6" s="2" t="s">
        <v>73</v>
      </c>
      <c r="G6" s="2" t="s">
        <v>29</v>
      </c>
      <c r="H6" s="4">
        <v>11.2</v>
      </c>
      <c r="I6" s="2"/>
      <c r="J6" s="2"/>
      <c r="K6" s="2" t="s">
        <v>74</v>
      </c>
      <c r="L6" s="6" t="s">
        <v>55</v>
      </c>
      <c r="M6" s="2" t="s">
        <v>75</v>
      </c>
      <c r="N6" s="2">
        <v>2025</v>
      </c>
      <c r="O6" s="2" t="b">
        <v>1</v>
      </c>
      <c r="P6" s="2" t="s">
        <v>62</v>
      </c>
    </row>
    <row r="7" spans="1:16" x14ac:dyDescent="0.25">
      <c r="A7" s="8">
        <v>15</v>
      </c>
      <c r="B7" s="2" t="s">
        <v>101</v>
      </c>
      <c r="C7" s="3">
        <v>46008</v>
      </c>
      <c r="D7" s="2" t="s">
        <v>102</v>
      </c>
      <c r="E7" s="2" t="s">
        <v>103</v>
      </c>
      <c r="F7" s="2" t="s">
        <v>104</v>
      </c>
      <c r="G7" s="2" t="s">
        <v>19</v>
      </c>
      <c r="H7" s="4">
        <v>13.455</v>
      </c>
      <c r="I7" s="2"/>
      <c r="J7" s="2"/>
      <c r="K7" s="2" t="s">
        <v>100</v>
      </c>
      <c r="L7" s="6" t="s">
        <v>55</v>
      </c>
      <c r="M7" s="2" t="s">
        <v>105</v>
      </c>
      <c r="N7" s="2">
        <v>2025</v>
      </c>
      <c r="O7" s="2" t="b">
        <v>1</v>
      </c>
      <c r="P7" s="2" t="s">
        <v>62</v>
      </c>
    </row>
    <row r="8" spans="1:16" x14ac:dyDescent="0.25">
      <c r="A8" s="8">
        <v>21</v>
      </c>
      <c r="B8" s="2" t="s">
        <v>128</v>
      </c>
      <c r="C8" s="3">
        <v>46197</v>
      </c>
      <c r="D8" s="2" t="s">
        <v>129</v>
      </c>
      <c r="E8" s="2" t="s">
        <v>130</v>
      </c>
      <c r="F8" s="2" t="s">
        <v>104</v>
      </c>
      <c r="G8" s="2" t="s">
        <v>131</v>
      </c>
      <c r="H8" s="4">
        <v>19.062000000000001</v>
      </c>
      <c r="I8" s="2"/>
      <c r="J8" s="2"/>
      <c r="K8" s="2" t="s">
        <v>132</v>
      </c>
      <c r="L8" s="6" t="s">
        <v>55</v>
      </c>
      <c r="M8" s="2" t="s">
        <v>133</v>
      </c>
      <c r="N8" s="2">
        <v>2026</v>
      </c>
      <c r="O8" s="2" t="b">
        <v>1</v>
      </c>
      <c r="P8" s="2" t="s">
        <v>62</v>
      </c>
    </row>
    <row r="9" spans="1:16" x14ac:dyDescent="0.25">
      <c r="A9" s="8">
        <v>14</v>
      </c>
      <c r="B9" s="2" t="s">
        <v>97</v>
      </c>
      <c r="C9" s="3">
        <v>46002</v>
      </c>
      <c r="D9" s="2" t="s">
        <v>98</v>
      </c>
      <c r="E9" s="2" t="s">
        <v>99</v>
      </c>
      <c r="F9" s="2" t="s">
        <v>18</v>
      </c>
      <c r="G9" s="2" t="s">
        <v>29</v>
      </c>
      <c r="H9" s="4">
        <v>6</v>
      </c>
      <c r="I9" s="2"/>
      <c r="J9" s="2"/>
      <c r="K9" s="2" t="s">
        <v>100</v>
      </c>
      <c r="L9" s="6" t="s">
        <v>55</v>
      </c>
      <c r="M9" s="2" t="s">
        <v>69</v>
      </c>
      <c r="N9" s="2">
        <v>2025</v>
      </c>
      <c r="O9" s="2" t="b">
        <v>1</v>
      </c>
      <c r="P9" s="2" t="s">
        <v>25</v>
      </c>
    </row>
    <row r="10" spans="1:16" x14ac:dyDescent="0.25">
      <c r="A10" s="8">
        <v>1</v>
      </c>
      <c r="B10" s="2" t="s">
        <v>15</v>
      </c>
      <c r="C10" s="3">
        <v>45664</v>
      </c>
      <c r="D10" s="2" t="s">
        <v>16</v>
      </c>
      <c r="E10" s="2" t="s">
        <v>17</v>
      </c>
      <c r="F10" s="2" t="s">
        <v>18</v>
      </c>
      <c r="G10" s="2" t="s">
        <v>19</v>
      </c>
      <c r="H10" s="4">
        <v>6.2571599999999998</v>
      </c>
      <c r="I10" s="2" t="s">
        <v>20</v>
      </c>
      <c r="J10" s="2" t="s">
        <v>21</v>
      </c>
      <c r="K10" s="2" t="s">
        <v>22</v>
      </c>
      <c r="L10" s="5" t="s">
        <v>23</v>
      </c>
      <c r="M10" s="2" t="s">
        <v>24</v>
      </c>
      <c r="N10" s="2">
        <v>2025</v>
      </c>
      <c r="O10" s="2" t="b">
        <v>1</v>
      </c>
      <c r="P10" s="2" t="s">
        <v>25</v>
      </c>
    </row>
    <row r="11" spans="1:16" x14ac:dyDescent="0.25">
      <c r="A11" s="8">
        <v>3</v>
      </c>
      <c r="B11" s="2" t="s">
        <v>34</v>
      </c>
      <c r="C11" s="3">
        <v>45757</v>
      </c>
      <c r="D11" s="2" t="s">
        <v>35</v>
      </c>
      <c r="E11" s="2" t="s">
        <v>36</v>
      </c>
      <c r="F11" s="2" t="s">
        <v>18</v>
      </c>
      <c r="G11" s="2" t="s">
        <v>29</v>
      </c>
      <c r="H11" s="4">
        <v>4.3559999999999999</v>
      </c>
      <c r="I11" s="2" t="s">
        <v>37</v>
      </c>
      <c r="J11" s="2" t="s">
        <v>38</v>
      </c>
      <c r="K11" s="2" t="s">
        <v>39</v>
      </c>
      <c r="L11" s="5" t="s">
        <v>23</v>
      </c>
      <c r="M11" s="2" t="s">
        <v>40</v>
      </c>
      <c r="N11" s="2">
        <v>2025</v>
      </c>
      <c r="O11" s="2" t="b">
        <v>1</v>
      </c>
      <c r="P11" s="2" t="s">
        <v>41</v>
      </c>
    </row>
    <row r="12" spans="1:16" ht="30" x14ac:dyDescent="0.25">
      <c r="A12" s="8">
        <v>6</v>
      </c>
      <c r="B12" s="2" t="s">
        <v>57</v>
      </c>
      <c r="C12" s="3">
        <v>45834</v>
      </c>
      <c r="D12" s="2" t="s">
        <v>58</v>
      </c>
      <c r="E12" s="2" t="s">
        <v>59</v>
      </c>
      <c r="F12" s="2" t="s">
        <v>18</v>
      </c>
      <c r="G12" s="2" t="s">
        <v>53</v>
      </c>
      <c r="H12" s="4">
        <v>74.757000000000005</v>
      </c>
      <c r="I12" s="2"/>
      <c r="J12" s="2"/>
      <c r="K12" s="2" t="s">
        <v>60</v>
      </c>
      <c r="L12" s="6" t="s">
        <v>55</v>
      </c>
      <c r="M12" s="2" t="s">
        <v>61</v>
      </c>
      <c r="N12" s="2">
        <v>2025</v>
      </c>
      <c r="O12" s="2" t="b">
        <v>1</v>
      </c>
      <c r="P12" s="2" t="s">
        <v>62</v>
      </c>
    </row>
    <row r="13" spans="1:16" ht="30" x14ac:dyDescent="0.25">
      <c r="A13" s="8">
        <v>5</v>
      </c>
      <c r="B13" s="2" t="s">
        <v>50</v>
      </c>
      <c r="C13" s="3">
        <v>45793</v>
      </c>
      <c r="D13" s="2" t="s">
        <v>51</v>
      </c>
      <c r="E13" s="2" t="s">
        <v>52</v>
      </c>
      <c r="F13" s="2" t="s">
        <v>18</v>
      </c>
      <c r="G13" s="2" t="s">
        <v>53</v>
      </c>
      <c r="H13" s="4">
        <v>9.9930000000000003</v>
      </c>
      <c r="I13" s="2"/>
      <c r="J13" s="2"/>
      <c r="K13" s="2" t="s">
        <v>54</v>
      </c>
      <c r="L13" s="6" t="s">
        <v>55</v>
      </c>
      <c r="M13" s="2" t="s">
        <v>56</v>
      </c>
      <c r="N13" s="2">
        <v>2025</v>
      </c>
      <c r="O13" s="2" t="b">
        <v>1</v>
      </c>
      <c r="P13" s="2" t="s">
        <v>25</v>
      </c>
    </row>
    <row r="14" spans="1:16" x14ac:dyDescent="0.25">
      <c r="A14" s="8">
        <v>12</v>
      </c>
      <c r="B14" s="2" t="s">
        <v>85</v>
      </c>
      <c r="C14" s="3">
        <v>45965</v>
      </c>
      <c r="D14" s="2" t="s">
        <v>86</v>
      </c>
      <c r="E14" s="2" t="s">
        <v>87</v>
      </c>
      <c r="F14" s="2" t="s">
        <v>73</v>
      </c>
      <c r="G14" s="2" t="s">
        <v>29</v>
      </c>
      <c r="H14" s="4">
        <v>18.70224</v>
      </c>
      <c r="I14" s="2" t="s">
        <v>88</v>
      </c>
      <c r="J14" s="2" t="s">
        <v>89</v>
      </c>
      <c r="K14" s="2" t="s">
        <v>90</v>
      </c>
      <c r="L14" s="5" t="s">
        <v>23</v>
      </c>
      <c r="M14" s="2" t="s">
        <v>91</v>
      </c>
      <c r="N14" s="2">
        <v>2025</v>
      </c>
      <c r="O14" s="2" t="b">
        <v>1</v>
      </c>
      <c r="P14" s="2" t="s">
        <v>62</v>
      </c>
    </row>
    <row r="15" spans="1:16" ht="30" x14ac:dyDescent="0.25">
      <c r="A15" s="8">
        <v>13</v>
      </c>
      <c r="B15" s="2" t="s">
        <v>92</v>
      </c>
      <c r="C15" s="3">
        <v>45966</v>
      </c>
      <c r="D15" s="2" t="s">
        <v>93</v>
      </c>
      <c r="E15" s="2" t="s">
        <v>94</v>
      </c>
      <c r="F15" s="2" t="s">
        <v>73</v>
      </c>
      <c r="G15" s="2" t="s">
        <v>53</v>
      </c>
      <c r="H15" s="4">
        <v>6.6150000000000002</v>
      </c>
      <c r="I15" s="2"/>
      <c r="J15" s="2"/>
      <c r="K15" s="2" t="s">
        <v>95</v>
      </c>
      <c r="L15" s="6" t="s">
        <v>55</v>
      </c>
      <c r="M15" s="2" t="s">
        <v>96</v>
      </c>
      <c r="N15" s="2">
        <v>2025</v>
      </c>
      <c r="O15" s="2" t="b">
        <v>1</v>
      </c>
      <c r="P15" s="2" t="s">
        <v>62</v>
      </c>
    </row>
    <row r="16" spans="1:16" x14ac:dyDescent="0.25">
      <c r="A16" s="8">
        <v>8</v>
      </c>
      <c r="B16" s="2" t="s">
        <v>66</v>
      </c>
      <c r="C16" s="3">
        <v>45833</v>
      </c>
      <c r="D16" s="2" t="s">
        <v>67</v>
      </c>
      <c r="E16" s="2" t="s">
        <v>68</v>
      </c>
      <c r="F16" s="2" t="s">
        <v>18</v>
      </c>
      <c r="G16" s="2" t="s">
        <v>53</v>
      </c>
      <c r="H16" s="4">
        <v>9.2279999999999998</v>
      </c>
      <c r="I16" s="2"/>
      <c r="J16" s="2"/>
      <c r="K16" s="2" t="s">
        <v>60</v>
      </c>
      <c r="L16" s="6" t="s">
        <v>55</v>
      </c>
      <c r="M16" s="2" t="s">
        <v>69</v>
      </c>
      <c r="N16" s="2">
        <v>2025</v>
      </c>
      <c r="O16" s="2" t="b">
        <v>1</v>
      </c>
      <c r="P16" s="2" t="s">
        <v>25</v>
      </c>
    </row>
    <row r="17" spans="1:16" x14ac:dyDescent="0.25">
      <c r="A17" s="8">
        <v>2</v>
      </c>
      <c r="B17" s="2" t="s">
        <v>26</v>
      </c>
      <c r="C17" s="3">
        <v>45694</v>
      </c>
      <c r="D17" s="2" t="s">
        <v>27</v>
      </c>
      <c r="E17" s="2" t="s">
        <v>28</v>
      </c>
      <c r="F17" s="2" t="s">
        <v>18</v>
      </c>
      <c r="G17" s="2" t="s">
        <v>29</v>
      </c>
      <c r="H17" s="4">
        <v>8.35</v>
      </c>
      <c r="I17" s="2" t="s">
        <v>30</v>
      </c>
      <c r="J17" s="2" t="s">
        <v>31</v>
      </c>
      <c r="K17" s="2" t="s">
        <v>32</v>
      </c>
      <c r="L17" s="5" t="s">
        <v>23</v>
      </c>
      <c r="M17" s="2" t="s">
        <v>33</v>
      </c>
      <c r="N17" s="2">
        <v>2025</v>
      </c>
      <c r="O17" s="2" t="b">
        <v>1</v>
      </c>
      <c r="P17" s="2" t="s">
        <v>25</v>
      </c>
    </row>
    <row r="18" spans="1:16" ht="30" x14ac:dyDescent="0.25">
      <c r="A18" s="8">
        <v>17</v>
      </c>
      <c r="B18" s="2" t="s">
        <v>109</v>
      </c>
      <c r="C18" s="3">
        <v>46014</v>
      </c>
      <c r="D18" s="2" t="s">
        <v>110</v>
      </c>
      <c r="E18" s="2" t="s">
        <v>111</v>
      </c>
      <c r="F18" s="2" t="s">
        <v>18</v>
      </c>
      <c r="G18" s="2" t="s">
        <v>29</v>
      </c>
      <c r="H18" s="4">
        <v>8.702</v>
      </c>
      <c r="I18" s="2"/>
      <c r="J18" s="2"/>
      <c r="K18" s="2" t="s">
        <v>112</v>
      </c>
      <c r="L18" s="6" t="s">
        <v>55</v>
      </c>
      <c r="M18" s="2" t="s">
        <v>113</v>
      </c>
      <c r="N18" s="2">
        <v>2025</v>
      </c>
      <c r="O18" s="2" t="b">
        <v>1</v>
      </c>
      <c r="P18" s="2" t="s">
        <v>25</v>
      </c>
    </row>
    <row r="19" spans="1:16" x14ac:dyDescent="0.25">
      <c r="A19" s="8">
        <v>4</v>
      </c>
      <c r="B19" s="2" t="s">
        <v>42</v>
      </c>
      <c r="C19" s="3">
        <v>45757</v>
      </c>
      <c r="D19" s="2" t="s">
        <v>43</v>
      </c>
      <c r="E19" s="2" t="s">
        <v>44</v>
      </c>
      <c r="F19" s="2" t="s">
        <v>45</v>
      </c>
      <c r="G19" s="2" t="s">
        <v>46</v>
      </c>
      <c r="H19" s="4">
        <v>4.8499999999999996</v>
      </c>
      <c r="I19" s="2" t="s">
        <v>47</v>
      </c>
      <c r="J19" s="2" t="s">
        <v>48</v>
      </c>
      <c r="K19" s="2" t="s">
        <v>39</v>
      </c>
      <c r="L19" s="5" t="s">
        <v>23</v>
      </c>
      <c r="M19" s="2" t="s">
        <v>49</v>
      </c>
      <c r="N19" s="2">
        <v>2025</v>
      </c>
      <c r="O19" s="2" t="b">
        <v>1</v>
      </c>
      <c r="P19" s="2" t="s">
        <v>41</v>
      </c>
    </row>
    <row r="20" spans="1:16" ht="30" x14ac:dyDescent="0.25">
      <c r="A20" s="8">
        <v>16</v>
      </c>
      <c r="B20" s="2" t="s">
        <v>106</v>
      </c>
      <c r="C20" s="3">
        <v>46009</v>
      </c>
      <c r="D20" s="2" t="s">
        <v>107</v>
      </c>
      <c r="E20" s="2" t="s">
        <v>108</v>
      </c>
      <c r="F20" s="2" t="s">
        <v>18</v>
      </c>
      <c r="G20" s="2" t="s">
        <v>53</v>
      </c>
      <c r="H20" s="4">
        <v>17.111000000000001</v>
      </c>
      <c r="I20" s="2"/>
      <c r="J20" s="2"/>
      <c r="K20" s="2" t="s">
        <v>100</v>
      </c>
      <c r="L20" s="6" t="s">
        <v>55</v>
      </c>
      <c r="M20" s="2" t="s">
        <v>61</v>
      </c>
      <c r="N20" s="2">
        <v>2025</v>
      </c>
      <c r="O20" s="2" t="b">
        <v>1</v>
      </c>
      <c r="P20" s="2" t="s">
        <v>62</v>
      </c>
    </row>
    <row r="21" spans="1:16" x14ac:dyDescent="0.25">
      <c r="A21" s="8">
        <v>18</v>
      </c>
      <c r="B21" s="2" t="s">
        <v>114</v>
      </c>
      <c r="C21" s="3">
        <v>46056</v>
      </c>
      <c r="D21" s="2" t="s">
        <v>115</v>
      </c>
      <c r="E21" s="2" t="s">
        <v>116</v>
      </c>
      <c r="F21" s="2" t="s">
        <v>18</v>
      </c>
      <c r="G21" s="2" t="s">
        <v>29</v>
      </c>
      <c r="H21" s="4">
        <v>1.8140000000000001</v>
      </c>
      <c r="I21" s="2" t="s">
        <v>117</v>
      </c>
      <c r="J21" s="2" t="s">
        <v>118</v>
      </c>
      <c r="K21" s="2" t="s">
        <v>119</v>
      </c>
      <c r="L21" s="5" t="s">
        <v>23</v>
      </c>
      <c r="M21" s="2" t="s">
        <v>120</v>
      </c>
      <c r="N21" s="2">
        <v>2026</v>
      </c>
      <c r="O21" s="2" t="b">
        <v>1</v>
      </c>
      <c r="P21" s="2" t="s">
        <v>41</v>
      </c>
    </row>
    <row r="22" spans="1:16" x14ac:dyDescent="0.25">
      <c r="A22" s="8">
        <v>19</v>
      </c>
      <c r="B22" s="2" t="s">
        <v>121</v>
      </c>
      <c r="C22" s="3">
        <v>46084</v>
      </c>
      <c r="D22" s="2" t="s">
        <v>122</v>
      </c>
      <c r="E22" s="2" t="s">
        <v>116</v>
      </c>
      <c r="F22" s="2" t="s">
        <v>18</v>
      </c>
      <c r="G22" s="2" t="s">
        <v>29</v>
      </c>
      <c r="H22" s="4">
        <v>9.9979999999999993</v>
      </c>
      <c r="I22" s="2"/>
      <c r="J22" s="2"/>
      <c r="K22" s="2" t="s">
        <v>123</v>
      </c>
      <c r="L22" s="6" t="s">
        <v>55</v>
      </c>
      <c r="M22" s="2" t="s">
        <v>69</v>
      </c>
      <c r="N22" s="2">
        <v>2026</v>
      </c>
      <c r="O22" s="2" t="b">
        <v>1</v>
      </c>
      <c r="P22" s="2" t="s">
        <v>25</v>
      </c>
    </row>
    <row r="23" spans="1:16" x14ac:dyDescent="0.25">
      <c r="A23" s="8">
        <v>20</v>
      </c>
      <c r="B23" s="2" t="s">
        <v>124</v>
      </c>
      <c r="C23" s="3">
        <v>46113</v>
      </c>
      <c r="D23" s="2" t="s">
        <v>125</v>
      </c>
      <c r="E23" s="2" t="s">
        <v>126</v>
      </c>
      <c r="F23" s="2" t="s">
        <v>73</v>
      </c>
      <c r="G23" s="2" t="s">
        <v>29</v>
      </c>
      <c r="H23" s="4">
        <v>9.8620000000000001</v>
      </c>
      <c r="I23" s="2"/>
      <c r="J23" s="2"/>
      <c r="K23" s="2" t="s">
        <v>127</v>
      </c>
      <c r="L23" s="6" t="s">
        <v>55</v>
      </c>
      <c r="M23" s="2" t="s">
        <v>69</v>
      </c>
      <c r="N23" s="2">
        <v>2026</v>
      </c>
      <c r="O23" s="2" t="b">
        <v>1</v>
      </c>
      <c r="P23" s="2" t="s">
        <v>25</v>
      </c>
    </row>
  </sheetData>
  <autoFilter ref="B1:P23" xr:uid="{00000000-0009-0000-0000-000000000000}"/>
  <sortState xmlns:xlrd2="http://schemas.microsoft.com/office/spreadsheetml/2017/richdata2" ref="A2:P23">
    <sortCondition ref="E1:E2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"/>
  <sheetViews>
    <sheetView tabSelected="1" workbookViewId="0">
      <pane ySplit="1" topLeftCell="A2" activePane="bottomLeft" state="frozen"/>
      <selection pane="bottomLeft" activeCell="G26" sqref="A1:G26"/>
    </sheetView>
  </sheetViews>
  <sheetFormatPr defaultRowHeight="15" x14ac:dyDescent="0.25"/>
  <cols>
    <col min="1" max="1" width="3.42578125" style="11" customWidth="1"/>
    <col min="2" max="2" width="23" customWidth="1"/>
    <col min="3" max="3" width="12" customWidth="1"/>
    <col min="4" max="4" width="19" customWidth="1"/>
    <col min="5" max="5" width="45" customWidth="1"/>
    <col min="6" max="6" width="17" customWidth="1"/>
    <col min="7" max="7" width="23" customWidth="1"/>
    <col min="8" max="8" width="21" customWidth="1"/>
    <col min="9" max="9" width="28" customWidth="1"/>
  </cols>
  <sheetData>
    <row r="1" spans="1:9" ht="30" x14ac:dyDescent="0.25">
      <c r="B1" s="1" t="s">
        <v>139</v>
      </c>
      <c r="C1" s="1" t="s">
        <v>4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x14ac:dyDescent="0.25">
      <c r="A2" s="12">
        <v>1</v>
      </c>
      <c r="B2" s="2" t="s">
        <v>82</v>
      </c>
      <c r="C2" s="2" t="s">
        <v>104</v>
      </c>
      <c r="D2" s="2">
        <v>1</v>
      </c>
      <c r="E2" s="2">
        <v>19.062000000000001</v>
      </c>
      <c r="F2" s="2">
        <v>1</v>
      </c>
      <c r="G2" s="2" t="s">
        <v>146</v>
      </c>
      <c r="H2" s="3">
        <v>46197</v>
      </c>
      <c r="I2" s="2" t="s">
        <v>128</v>
      </c>
    </row>
    <row r="3" spans="1:9" x14ac:dyDescent="0.25">
      <c r="A3" s="12">
        <v>2</v>
      </c>
      <c r="B3" s="2" t="s">
        <v>82</v>
      </c>
      <c r="C3" s="2" t="s">
        <v>18</v>
      </c>
      <c r="D3" s="2">
        <v>1</v>
      </c>
      <c r="E3" s="2">
        <v>8.75</v>
      </c>
      <c r="F3" s="2">
        <v>0</v>
      </c>
      <c r="G3" s="2" t="s">
        <v>147</v>
      </c>
      <c r="H3" s="3">
        <v>45961</v>
      </c>
      <c r="I3" s="2" t="s">
        <v>80</v>
      </c>
    </row>
    <row r="4" spans="1:9" x14ac:dyDescent="0.25">
      <c r="A4" s="12">
        <v>3</v>
      </c>
      <c r="B4" s="2" t="s">
        <v>78</v>
      </c>
      <c r="C4" s="2" t="s">
        <v>18</v>
      </c>
      <c r="D4" s="2">
        <v>1</v>
      </c>
      <c r="E4" s="9">
        <v>5.1159999999999997</v>
      </c>
      <c r="F4" s="2">
        <v>0</v>
      </c>
      <c r="G4" s="2" t="s">
        <v>146</v>
      </c>
      <c r="H4" s="3">
        <v>45888</v>
      </c>
      <c r="I4" s="2" t="s">
        <v>76</v>
      </c>
    </row>
    <row r="5" spans="1:9" x14ac:dyDescent="0.25">
      <c r="A5" s="12">
        <v>4</v>
      </c>
      <c r="B5" s="2" t="s">
        <v>148</v>
      </c>
      <c r="C5" s="2" t="s">
        <v>18</v>
      </c>
      <c r="D5" s="2">
        <v>1</v>
      </c>
      <c r="E5" s="9">
        <v>18.71</v>
      </c>
      <c r="F5" s="2">
        <v>1</v>
      </c>
      <c r="G5" s="2" t="s">
        <v>146</v>
      </c>
      <c r="H5" s="3">
        <v>45834</v>
      </c>
      <c r="I5" s="2" t="s">
        <v>63</v>
      </c>
    </row>
    <row r="6" spans="1:9" x14ac:dyDescent="0.25">
      <c r="A6" s="12">
        <v>5</v>
      </c>
      <c r="B6" s="2" t="s">
        <v>149</v>
      </c>
      <c r="C6" s="2" t="s">
        <v>18</v>
      </c>
      <c r="D6" s="2">
        <v>1</v>
      </c>
      <c r="E6" s="9">
        <v>7.36</v>
      </c>
      <c r="F6" s="2">
        <v>0</v>
      </c>
      <c r="G6" s="2" t="s">
        <v>147</v>
      </c>
      <c r="H6" s="3">
        <v>46197</v>
      </c>
      <c r="I6" s="2" t="s">
        <v>134</v>
      </c>
    </row>
    <row r="7" spans="1:9" x14ac:dyDescent="0.25">
      <c r="A7" s="12">
        <v>6</v>
      </c>
      <c r="B7" s="2" t="s">
        <v>150</v>
      </c>
      <c r="C7" s="2" t="s">
        <v>73</v>
      </c>
      <c r="D7" s="2">
        <v>1</v>
      </c>
      <c r="E7" s="9">
        <v>6.6150000000000002</v>
      </c>
      <c r="F7" s="2">
        <v>0</v>
      </c>
      <c r="G7" s="2" t="s">
        <v>146</v>
      </c>
      <c r="H7" s="3">
        <v>45966</v>
      </c>
      <c r="I7" s="2" t="s">
        <v>92</v>
      </c>
    </row>
    <row r="8" spans="1:9" x14ac:dyDescent="0.25">
      <c r="A8" s="12">
        <v>7</v>
      </c>
      <c r="B8" s="2" t="s">
        <v>72</v>
      </c>
      <c r="C8" s="2" t="s">
        <v>73</v>
      </c>
      <c r="D8" s="2">
        <v>1</v>
      </c>
      <c r="E8" s="9">
        <v>11.2</v>
      </c>
      <c r="F8" s="2">
        <v>1</v>
      </c>
      <c r="G8" s="2" t="s">
        <v>147</v>
      </c>
      <c r="H8" s="3">
        <v>45868</v>
      </c>
      <c r="I8" s="2" t="s">
        <v>70</v>
      </c>
    </row>
    <row r="9" spans="1:9" x14ac:dyDescent="0.25">
      <c r="A9" s="12">
        <v>8</v>
      </c>
      <c r="B9" s="2" t="s">
        <v>103</v>
      </c>
      <c r="C9" s="2" t="s">
        <v>104</v>
      </c>
      <c r="D9" s="2">
        <v>2</v>
      </c>
      <c r="E9" s="9">
        <v>32.517000000000003</v>
      </c>
      <c r="F9" s="2">
        <v>2</v>
      </c>
      <c r="G9" s="2" t="s">
        <v>146</v>
      </c>
      <c r="H9" s="3">
        <v>46197</v>
      </c>
      <c r="I9" s="2" t="s">
        <v>151</v>
      </c>
    </row>
    <row r="10" spans="1:9" x14ac:dyDescent="0.25">
      <c r="A10" s="12">
        <v>9</v>
      </c>
      <c r="B10" s="2" t="s">
        <v>99</v>
      </c>
      <c r="C10" s="2" t="s">
        <v>18</v>
      </c>
      <c r="D10" s="2">
        <v>1</v>
      </c>
      <c r="E10" s="9">
        <v>6</v>
      </c>
      <c r="F10" s="2">
        <v>0</v>
      </c>
      <c r="G10" s="2" t="s">
        <v>147</v>
      </c>
      <c r="H10" s="3">
        <v>46002</v>
      </c>
      <c r="I10" s="2" t="s">
        <v>97</v>
      </c>
    </row>
    <row r="11" spans="1:9" x14ac:dyDescent="0.25">
      <c r="A11" s="12">
        <v>10</v>
      </c>
      <c r="B11" s="2" t="s">
        <v>17</v>
      </c>
      <c r="C11" s="2" t="s">
        <v>18</v>
      </c>
      <c r="D11" s="2">
        <v>1</v>
      </c>
      <c r="E11" s="9">
        <v>6.2571599999999998</v>
      </c>
      <c r="F11" s="2">
        <v>0</v>
      </c>
      <c r="G11" s="2" t="s">
        <v>147</v>
      </c>
      <c r="H11" s="3">
        <v>45664</v>
      </c>
      <c r="I11" s="2" t="s">
        <v>15</v>
      </c>
    </row>
    <row r="12" spans="1:9" x14ac:dyDescent="0.25">
      <c r="A12" s="12">
        <v>11</v>
      </c>
      <c r="B12" s="2" t="s">
        <v>152</v>
      </c>
      <c r="C12" s="2" t="s">
        <v>18</v>
      </c>
      <c r="D12" s="2">
        <v>1</v>
      </c>
      <c r="E12" s="9">
        <v>74.757000000000005</v>
      </c>
      <c r="F12" s="2">
        <v>1</v>
      </c>
      <c r="G12" s="2" t="s">
        <v>146</v>
      </c>
      <c r="H12" s="3">
        <v>45834</v>
      </c>
      <c r="I12" s="2" t="s">
        <v>57</v>
      </c>
    </row>
    <row r="13" spans="1:9" x14ac:dyDescent="0.25">
      <c r="A13" s="12">
        <v>12</v>
      </c>
      <c r="B13" s="2" t="s">
        <v>36</v>
      </c>
      <c r="C13" s="2" t="s">
        <v>18</v>
      </c>
      <c r="D13" s="2">
        <v>2</v>
      </c>
      <c r="E13" s="9">
        <v>21.466999999999999</v>
      </c>
      <c r="F13" s="2">
        <v>1</v>
      </c>
      <c r="G13" s="2" t="s">
        <v>146</v>
      </c>
      <c r="H13" s="3">
        <v>46009</v>
      </c>
      <c r="I13" s="2" t="s">
        <v>153</v>
      </c>
    </row>
    <row r="14" spans="1:9" x14ac:dyDescent="0.25">
      <c r="A14" s="12">
        <v>13</v>
      </c>
      <c r="B14" s="2" t="s">
        <v>154</v>
      </c>
      <c r="C14" s="2" t="s">
        <v>18</v>
      </c>
      <c r="D14" s="2">
        <v>1</v>
      </c>
      <c r="E14" s="9">
        <v>74.757000000000005</v>
      </c>
      <c r="F14" s="2">
        <v>1</v>
      </c>
      <c r="G14" s="2" t="s">
        <v>146</v>
      </c>
      <c r="H14" s="3">
        <v>45834</v>
      </c>
      <c r="I14" s="2" t="s">
        <v>57</v>
      </c>
    </row>
    <row r="15" spans="1:9" x14ac:dyDescent="0.25">
      <c r="A15" s="12">
        <v>14</v>
      </c>
      <c r="B15" s="2" t="s">
        <v>52</v>
      </c>
      <c r="C15" s="2" t="s">
        <v>18</v>
      </c>
      <c r="D15" s="2">
        <v>1</v>
      </c>
      <c r="E15" s="9">
        <v>9.9930000000000003</v>
      </c>
      <c r="F15" s="2">
        <v>0</v>
      </c>
      <c r="G15" s="2" t="s">
        <v>146</v>
      </c>
      <c r="H15" s="3">
        <v>45793</v>
      </c>
      <c r="I15" s="2" t="s">
        <v>50</v>
      </c>
    </row>
    <row r="16" spans="1:9" x14ac:dyDescent="0.25">
      <c r="A16" s="12">
        <v>15</v>
      </c>
      <c r="B16" s="2" t="s">
        <v>155</v>
      </c>
      <c r="C16" s="2" t="s">
        <v>18</v>
      </c>
      <c r="D16" s="2">
        <v>1</v>
      </c>
      <c r="E16" s="9">
        <v>18.71</v>
      </c>
      <c r="F16" s="2">
        <v>1</v>
      </c>
      <c r="G16" s="2" t="s">
        <v>146</v>
      </c>
      <c r="H16" s="3">
        <v>45834</v>
      </c>
      <c r="I16" s="2" t="s">
        <v>63</v>
      </c>
    </row>
    <row r="17" spans="1:9" x14ac:dyDescent="0.25">
      <c r="A17" s="12">
        <v>16</v>
      </c>
      <c r="B17" s="2" t="s">
        <v>156</v>
      </c>
      <c r="C17" s="2" t="s">
        <v>18</v>
      </c>
      <c r="D17" s="2">
        <v>1</v>
      </c>
      <c r="E17" s="9">
        <v>17.111000000000001</v>
      </c>
      <c r="F17" s="2">
        <v>1</v>
      </c>
      <c r="G17" s="2" t="s">
        <v>146</v>
      </c>
      <c r="H17" s="3">
        <v>46009</v>
      </c>
      <c r="I17" s="2" t="s">
        <v>106</v>
      </c>
    </row>
    <row r="18" spans="1:9" x14ac:dyDescent="0.25">
      <c r="A18" s="12">
        <v>17</v>
      </c>
      <c r="B18" s="2" t="s">
        <v>87</v>
      </c>
      <c r="C18" s="2" t="s">
        <v>73</v>
      </c>
      <c r="D18" s="2">
        <v>2</v>
      </c>
      <c r="E18" s="9">
        <v>25.317240000000002</v>
      </c>
      <c r="F18" s="2">
        <v>1</v>
      </c>
      <c r="G18" s="2" t="s">
        <v>146</v>
      </c>
      <c r="H18" s="3">
        <v>45966</v>
      </c>
      <c r="I18" s="2" t="s">
        <v>157</v>
      </c>
    </row>
    <row r="19" spans="1:9" x14ac:dyDescent="0.25">
      <c r="A19" s="12">
        <v>18</v>
      </c>
      <c r="B19" s="2" t="s">
        <v>68</v>
      </c>
      <c r="C19" s="2" t="s">
        <v>18</v>
      </c>
      <c r="D19" s="2">
        <v>2</v>
      </c>
      <c r="E19" s="9">
        <v>16.588000000000001</v>
      </c>
      <c r="F19" s="2">
        <v>0</v>
      </c>
      <c r="G19" s="2" t="s">
        <v>146</v>
      </c>
      <c r="H19" s="3">
        <v>46197</v>
      </c>
      <c r="I19" s="2" t="s">
        <v>158</v>
      </c>
    </row>
    <row r="20" spans="1:9" x14ac:dyDescent="0.25">
      <c r="A20" s="12">
        <v>19</v>
      </c>
      <c r="B20" s="2" t="s">
        <v>28</v>
      </c>
      <c r="C20" s="2" t="s">
        <v>18</v>
      </c>
      <c r="D20" s="2">
        <v>1</v>
      </c>
      <c r="E20" s="9">
        <v>8.35</v>
      </c>
      <c r="F20" s="2">
        <v>0</v>
      </c>
      <c r="G20" s="2" t="s">
        <v>147</v>
      </c>
      <c r="H20" s="3">
        <v>45694</v>
      </c>
      <c r="I20" s="2" t="s">
        <v>26</v>
      </c>
    </row>
    <row r="21" spans="1:9" x14ac:dyDescent="0.25">
      <c r="A21" s="12">
        <v>20</v>
      </c>
      <c r="B21" s="2" t="s">
        <v>111</v>
      </c>
      <c r="C21" s="2" t="s">
        <v>18</v>
      </c>
      <c r="D21" s="2">
        <v>1</v>
      </c>
      <c r="E21" s="9">
        <v>8.702</v>
      </c>
      <c r="F21" s="2">
        <v>0</v>
      </c>
      <c r="G21" s="2" t="s">
        <v>147</v>
      </c>
      <c r="H21" s="3">
        <v>46014</v>
      </c>
      <c r="I21" s="2" t="s">
        <v>109</v>
      </c>
    </row>
    <row r="22" spans="1:9" x14ac:dyDescent="0.25">
      <c r="A22" s="12">
        <v>21</v>
      </c>
      <c r="B22" s="2" t="s">
        <v>44</v>
      </c>
      <c r="C22" s="2" t="s">
        <v>45</v>
      </c>
      <c r="D22" s="2">
        <v>1</v>
      </c>
      <c r="E22" s="9">
        <v>4.8499999999999996</v>
      </c>
      <c r="F22" s="2">
        <v>0</v>
      </c>
      <c r="G22" s="2" t="s">
        <v>147</v>
      </c>
      <c r="H22" s="3">
        <v>45757</v>
      </c>
      <c r="I22" s="2" t="s">
        <v>42</v>
      </c>
    </row>
    <row r="23" spans="1:9" x14ac:dyDescent="0.25">
      <c r="A23" s="12">
        <v>22</v>
      </c>
      <c r="B23" s="2" t="s">
        <v>159</v>
      </c>
      <c r="C23" s="2" t="s">
        <v>18</v>
      </c>
      <c r="D23" s="2">
        <v>2</v>
      </c>
      <c r="E23" s="9">
        <v>91.868000000000009</v>
      </c>
      <c r="F23" s="2">
        <v>2</v>
      </c>
      <c r="G23" s="2" t="s">
        <v>146</v>
      </c>
      <c r="H23" s="3">
        <v>46009</v>
      </c>
      <c r="I23" s="2" t="s">
        <v>160</v>
      </c>
    </row>
    <row r="24" spans="1:9" x14ac:dyDescent="0.25">
      <c r="A24" s="12">
        <v>23</v>
      </c>
      <c r="B24" s="2" t="s">
        <v>116</v>
      </c>
      <c r="C24" s="2" t="s">
        <v>18</v>
      </c>
      <c r="D24" s="2">
        <v>2</v>
      </c>
      <c r="E24" s="9">
        <v>11.811999999999999</v>
      </c>
      <c r="F24" s="2">
        <v>0</v>
      </c>
      <c r="G24" s="2" t="s">
        <v>147</v>
      </c>
      <c r="H24" s="3">
        <v>46084</v>
      </c>
      <c r="I24" s="2" t="s">
        <v>161</v>
      </c>
    </row>
    <row r="25" spans="1:9" x14ac:dyDescent="0.25">
      <c r="A25" s="12">
        <v>24</v>
      </c>
      <c r="B25" s="2" t="s">
        <v>126</v>
      </c>
      <c r="C25" s="2" t="s">
        <v>73</v>
      </c>
      <c r="D25" s="2">
        <v>1</v>
      </c>
      <c r="E25" s="9">
        <v>9.8620000000000001</v>
      </c>
      <c r="F25" s="2">
        <v>0</v>
      </c>
      <c r="G25" s="2" t="s">
        <v>147</v>
      </c>
      <c r="H25" s="3">
        <v>46113</v>
      </c>
      <c r="I25" s="2" t="s">
        <v>124</v>
      </c>
    </row>
    <row r="26" spans="1:9" x14ac:dyDescent="0.25">
      <c r="E26" s="10">
        <f>SUM(E2:E25)</f>
        <v>515.73140000000012</v>
      </c>
    </row>
  </sheetData>
  <autoFilter ref="B1:I26" xr:uid="{00000000-0009-0000-0000-000001000000}"/>
  <pageMargins left="0.74803149606299213" right="0.74803149606299213" top="0.98425196850393704" bottom="0.98425196850393704" header="0.51181102362204722" footer="0.51181102362204722"/>
  <pageSetup paperSize="9" scale="91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2" customWidth="1"/>
    <col min="3" max="3" width="14" customWidth="1"/>
    <col min="4" max="4" width="43" customWidth="1"/>
    <col min="5" max="5" width="21" customWidth="1"/>
    <col min="6" max="6" width="23" customWidth="1"/>
    <col min="7" max="7" width="25" customWidth="1"/>
    <col min="8" max="9" width="22" customWidth="1"/>
  </cols>
  <sheetData>
    <row r="1" spans="1:9" x14ac:dyDescent="0.25">
      <c r="A1" s="1" t="s">
        <v>139</v>
      </c>
      <c r="B1" s="1" t="s">
        <v>4</v>
      </c>
      <c r="C1" s="1" t="s">
        <v>0</v>
      </c>
      <c r="D1" s="1" t="s">
        <v>162</v>
      </c>
      <c r="E1" s="1" t="s">
        <v>163</v>
      </c>
      <c r="F1" s="1" t="s">
        <v>164</v>
      </c>
      <c r="G1" s="1" t="s">
        <v>5</v>
      </c>
      <c r="H1" s="1" t="s">
        <v>165</v>
      </c>
      <c r="I1" s="1" t="s">
        <v>14</v>
      </c>
    </row>
    <row r="2" spans="1:9" x14ac:dyDescent="0.25">
      <c r="A2" s="2" t="s">
        <v>17</v>
      </c>
      <c r="B2" s="2" t="s">
        <v>18</v>
      </c>
      <c r="C2" s="2" t="s">
        <v>15</v>
      </c>
      <c r="D2" s="2" t="s">
        <v>16</v>
      </c>
      <c r="E2" s="3">
        <v>45664</v>
      </c>
      <c r="F2" s="2">
        <v>6.2571599999999998</v>
      </c>
      <c r="G2" s="2" t="s">
        <v>19</v>
      </c>
      <c r="H2" s="2" t="s">
        <v>166</v>
      </c>
      <c r="I2" s="2" t="s">
        <v>25</v>
      </c>
    </row>
    <row r="3" spans="1:9" x14ac:dyDescent="0.25">
      <c r="A3" s="2" t="s">
        <v>28</v>
      </c>
      <c r="B3" s="2" t="s">
        <v>18</v>
      </c>
      <c r="C3" s="2" t="s">
        <v>26</v>
      </c>
      <c r="D3" s="2" t="s">
        <v>27</v>
      </c>
      <c r="E3" s="3">
        <v>45694</v>
      </c>
      <c r="F3" s="2">
        <v>8.35</v>
      </c>
      <c r="G3" s="2" t="s">
        <v>29</v>
      </c>
      <c r="H3" s="2" t="s">
        <v>166</v>
      </c>
      <c r="I3" s="2" t="s">
        <v>25</v>
      </c>
    </row>
    <row r="4" spans="1:9" x14ac:dyDescent="0.25">
      <c r="A4" s="2" t="s">
        <v>36</v>
      </c>
      <c r="B4" s="2" t="s">
        <v>18</v>
      </c>
      <c r="C4" s="2" t="s">
        <v>34</v>
      </c>
      <c r="D4" s="2" t="s">
        <v>35</v>
      </c>
      <c r="E4" s="3">
        <v>45757</v>
      </c>
      <c r="F4" s="2">
        <v>4.3559999999999999</v>
      </c>
      <c r="G4" s="2" t="s">
        <v>29</v>
      </c>
      <c r="H4" s="2" t="s">
        <v>166</v>
      </c>
      <c r="I4" s="2" t="s">
        <v>41</v>
      </c>
    </row>
    <row r="5" spans="1:9" x14ac:dyDescent="0.25">
      <c r="A5" s="2" t="s">
        <v>44</v>
      </c>
      <c r="B5" s="2" t="s">
        <v>45</v>
      </c>
      <c r="C5" s="2" t="s">
        <v>42</v>
      </c>
      <c r="D5" s="2" t="s">
        <v>43</v>
      </c>
      <c r="E5" s="3">
        <v>45757</v>
      </c>
      <c r="F5" s="2">
        <v>4.8499999999999996</v>
      </c>
      <c r="G5" s="2" t="s">
        <v>46</v>
      </c>
      <c r="H5" s="2" t="s">
        <v>166</v>
      </c>
      <c r="I5" s="2" t="s">
        <v>41</v>
      </c>
    </row>
    <row r="6" spans="1:9" x14ac:dyDescent="0.25">
      <c r="A6" s="2" t="s">
        <v>52</v>
      </c>
      <c r="B6" s="2" t="s">
        <v>18</v>
      </c>
      <c r="C6" s="2" t="s">
        <v>50</v>
      </c>
      <c r="D6" s="2" t="s">
        <v>51</v>
      </c>
      <c r="E6" s="3">
        <v>45793</v>
      </c>
      <c r="F6" s="2">
        <v>9.9930000000000003</v>
      </c>
      <c r="G6" s="2" t="s">
        <v>53</v>
      </c>
      <c r="H6" s="2" t="s">
        <v>166</v>
      </c>
      <c r="I6" s="2" t="s">
        <v>25</v>
      </c>
    </row>
    <row r="7" spans="1:9" x14ac:dyDescent="0.25">
      <c r="A7" s="2" t="s">
        <v>154</v>
      </c>
      <c r="B7" s="2" t="s">
        <v>18</v>
      </c>
      <c r="C7" s="2" t="s">
        <v>57</v>
      </c>
      <c r="D7" s="2" t="s">
        <v>58</v>
      </c>
      <c r="E7" s="3">
        <v>45834</v>
      </c>
      <c r="F7" s="2">
        <v>74.757000000000005</v>
      </c>
      <c r="G7" s="2" t="s">
        <v>53</v>
      </c>
      <c r="H7" s="2" t="s">
        <v>166</v>
      </c>
      <c r="I7" s="2" t="s">
        <v>62</v>
      </c>
    </row>
    <row r="8" spans="1:9" x14ac:dyDescent="0.25">
      <c r="A8" s="2" t="s">
        <v>159</v>
      </c>
      <c r="B8" s="2" t="s">
        <v>18</v>
      </c>
      <c r="C8" s="2" t="s">
        <v>57</v>
      </c>
      <c r="D8" s="2" t="s">
        <v>58</v>
      </c>
      <c r="E8" s="3">
        <v>45834</v>
      </c>
      <c r="F8" s="2">
        <v>74.757000000000005</v>
      </c>
      <c r="G8" s="2" t="s">
        <v>53</v>
      </c>
      <c r="H8" s="2" t="s">
        <v>166</v>
      </c>
      <c r="I8" s="2" t="s">
        <v>62</v>
      </c>
    </row>
    <row r="9" spans="1:9" x14ac:dyDescent="0.25">
      <c r="A9" s="2" t="s">
        <v>152</v>
      </c>
      <c r="B9" s="2" t="s">
        <v>18</v>
      </c>
      <c r="C9" s="2" t="s">
        <v>57</v>
      </c>
      <c r="D9" s="2" t="s">
        <v>58</v>
      </c>
      <c r="E9" s="3">
        <v>45834</v>
      </c>
      <c r="F9" s="2">
        <v>74.757000000000005</v>
      </c>
      <c r="G9" s="2" t="s">
        <v>53</v>
      </c>
      <c r="H9" s="2" t="s">
        <v>166</v>
      </c>
      <c r="I9" s="2" t="s">
        <v>62</v>
      </c>
    </row>
    <row r="10" spans="1:9" x14ac:dyDescent="0.25">
      <c r="A10" s="2" t="s">
        <v>148</v>
      </c>
      <c r="B10" s="2" t="s">
        <v>18</v>
      </c>
      <c r="C10" s="2" t="s">
        <v>63</v>
      </c>
      <c r="D10" s="2" t="s">
        <v>64</v>
      </c>
      <c r="E10" s="3">
        <v>45834</v>
      </c>
      <c r="F10" s="2">
        <v>18.71</v>
      </c>
      <c r="G10" s="2" t="s">
        <v>53</v>
      </c>
      <c r="H10" s="2" t="s">
        <v>166</v>
      </c>
      <c r="I10" s="2" t="s">
        <v>62</v>
      </c>
    </row>
    <row r="11" spans="1:9" x14ac:dyDescent="0.25">
      <c r="A11" s="2" t="s">
        <v>155</v>
      </c>
      <c r="B11" s="2" t="s">
        <v>18</v>
      </c>
      <c r="C11" s="2" t="s">
        <v>63</v>
      </c>
      <c r="D11" s="2" t="s">
        <v>64</v>
      </c>
      <c r="E11" s="3">
        <v>45834</v>
      </c>
      <c r="F11" s="2">
        <v>18.71</v>
      </c>
      <c r="G11" s="2" t="s">
        <v>53</v>
      </c>
      <c r="H11" s="2" t="s">
        <v>166</v>
      </c>
      <c r="I11" s="2" t="s">
        <v>62</v>
      </c>
    </row>
    <row r="12" spans="1:9" x14ac:dyDescent="0.25">
      <c r="A12" s="2" t="s">
        <v>68</v>
      </c>
      <c r="B12" s="2" t="s">
        <v>18</v>
      </c>
      <c r="C12" s="2" t="s">
        <v>66</v>
      </c>
      <c r="D12" s="2" t="s">
        <v>67</v>
      </c>
      <c r="E12" s="3">
        <v>45833</v>
      </c>
      <c r="F12" s="2">
        <v>9.2279999999999998</v>
      </c>
      <c r="G12" s="2" t="s">
        <v>53</v>
      </c>
      <c r="H12" s="2" t="s">
        <v>166</v>
      </c>
      <c r="I12" s="2" t="s">
        <v>25</v>
      </c>
    </row>
    <row r="13" spans="1:9" x14ac:dyDescent="0.25">
      <c r="A13" s="2" t="s">
        <v>72</v>
      </c>
      <c r="B13" s="2" t="s">
        <v>73</v>
      </c>
      <c r="C13" s="2" t="s">
        <v>70</v>
      </c>
      <c r="D13" s="2" t="s">
        <v>71</v>
      </c>
      <c r="E13" s="3">
        <v>45868</v>
      </c>
      <c r="F13" s="2">
        <v>11.2</v>
      </c>
      <c r="G13" s="2" t="s">
        <v>29</v>
      </c>
      <c r="H13" s="2" t="s">
        <v>166</v>
      </c>
      <c r="I13" s="2" t="s">
        <v>62</v>
      </c>
    </row>
    <row r="14" spans="1:9" x14ac:dyDescent="0.25">
      <c r="A14" s="2" t="s">
        <v>78</v>
      </c>
      <c r="B14" s="2" t="s">
        <v>18</v>
      </c>
      <c r="C14" s="2" t="s">
        <v>76</v>
      </c>
      <c r="D14" s="2" t="s">
        <v>77</v>
      </c>
      <c r="E14" s="3">
        <v>45888</v>
      </c>
      <c r="F14" s="2">
        <v>5.1159999999999997</v>
      </c>
      <c r="G14" s="2" t="s">
        <v>53</v>
      </c>
      <c r="H14" s="2" t="s">
        <v>166</v>
      </c>
      <c r="I14" s="2" t="s">
        <v>25</v>
      </c>
    </row>
    <row r="15" spans="1:9" x14ac:dyDescent="0.25">
      <c r="A15" s="2" t="s">
        <v>82</v>
      </c>
      <c r="B15" s="2" t="s">
        <v>18</v>
      </c>
      <c r="C15" s="2" t="s">
        <v>80</v>
      </c>
      <c r="D15" s="2" t="s">
        <v>81</v>
      </c>
      <c r="E15" s="3">
        <v>45961</v>
      </c>
      <c r="F15" s="2">
        <v>8.75</v>
      </c>
      <c r="G15" s="2" t="s">
        <v>29</v>
      </c>
      <c r="H15" s="2" t="s">
        <v>166</v>
      </c>
      <c r="I15" s="2" t="s">
        <v>25</v>
      </c>
    </row>
    <row r="16" spans="1:9" x14ac:dyDescent="0.25">
      <c r="A16" s="2" t="s">
        <v>87</v>
      </c>
      <c r="B16" s="2" t="s">
        <v>73</v>
      </c>
      <c r="C16" s="2" t="s">
        <v>85</v>
      </c>
      <c r="D16" s="2" t="s">
        <v>86</v>
      </c>
      <c r="E16" s="3">
        <v>45965</v>
      </c>
      <c r="F16" s="2">
        <v>18.70224</v>
      </c>
      <c r="G16" s="2" t="s">
        <v>29</v>
      </c>
      <c r="H16" s="2" t="s">
        <v>166</v>
      </c>
      <c r="I16" s="2" t="s">
        <v>62</v>
      </c>
    </row>
    <row r="17" spans="1:9" x14ac:dyDescent="0.25">
      <c r="A17" s="2" t="s">
        <v>87</v>
      </c>
      <c r="B17" s="2" t="s">
        <v>73</v>
      </c>
      <c r="C17" s="2" t="s">
        <v>92</v>
      </c>
      <c r="D17" s="2" t="s">
        <v>93</v>
      </c>
      <c r="E17" s="3">
        <v>45966</v>
      </c>
      <c r="F17" s="2">
        <v>6.6150000000000002</v>
      </c>
      <c r="G17" s="2" t="s">
        <v>53</v>
      </c>
      <c r="H17" s="2" t="s">
        <v>166</v>
      </c>
      <c r="I17" s="2" t="s">
        <v>62</v>
      </c>
    </row>
    <row r="18" spans="1:9" x14ac:dyDescent="0.25">
      <c r="A18" s="2" t="s">
        <v>150</v>
      </c>
      <c r="B18" s="2" t="s">
        <v>73</v>
      </c>
      <c r="C18" s="2" t="s">
        <v>92</v>
      </c>
      <c r="D18" s="2" t="s">
        <v>93</v>
      </c>
      <c r="E18" s="3">
        <v>45966</v>
      </c>
      <c r="F18" s="2">
        <v>6.6150000000000002</v>
      </c>
      <c r="G18" s="2" t="s">
        <v>53</v>
      </c>
      <c r="H18" s="2" t="s">
        <v>166</v>
      </c>
      <c r="I18" s="2" t="s">
        <v>62</v>
      </c>
    </row>
    <row r="19" spans="1:9" x14ac:dyDescent="0.25">
      <c r="A19" s="2" t="s">
        <v>99</v>
      </c>
      <c r="B19" s="2" t="s">
        <v>18</v>
      </c>
      <c r="C19" s="2" t="s">
        <v>97</v>
      </c>
      <c r="D19" s="2" t="s">
        <v>98</v>
      </c>
      <c r="E19" s="3">
        <v>46002</v>
      </c>
      <c r="F19" s="2">
        <v>6</v>
      </c>
      <c r="G19" s="2" t="s">
        <v>29</v>
      </c>
      <c r="H19" s="2" t="s">
        <v>166</v>
      </c>
      <c r="I19" s="2" t="s">
        <v>25</v>
      </c>
    </row>
    <row r="20" spans="1:9" x14ac:dyDescent="0.25">
      <c r="A20" s="2" t="s">
        <v>103</v>
      </c>
      <c r="B20" s="2" t="s">
        <v>104</v>
      </c>
      <c r="C20" s="2" t="s">
        <v>101</v>
      </c>
      <c r="D20" s="2" t="s">
        <v>102</v>
      </c>
      <c r="E20" s="3">
        <v>46008</v>
      </c>
      <c r="F20" s="2">
        <v>13.455</v>
      </c>
      <c r="G20" s="2" t="s">
        <v>19</v>
      </c>
      <c r="H20" s="2" t="s">
        <v>166</v>
      </c>
      <c r="I20" s="2" t="s">
        <v>62</v>
      </c>
    </row>
    <row r="21" spans="1:9" x14ac:dyDescent="0.25">
      <c r="A21" s="2" t="s">
        <v>159</v>
      </c>
      <c r="B21" s="2" t="s">
        <v>18</v>
      </c>
      <c r="C21" s="2" t="s">
        <v>106</v>
      </c>
      <c r="D21" s="2" t="s">
        <v>107</v>
      </c>
      <c r="E21" s="3">
        <v>46009</v>
      </c>
      <c r="F21" s="2">
        <v>17.111000000000001</v>
      </c>
      <c r="G21" s="2" t="s">
        <v>53</v>
      </c>
      <c r="H21" s="2" t="s">
        <v>166</v>
      </c>
      <c r="I21" s="2" t="s">
        <v>62</v>
      </c>
    </row>
    <row r="22" spans="1:9" x14ac:dyDescent="0.25">
      <c r="A22" s="2" t="s">
        <v>156</v>
      </c>
      <c r="B22" s="2" t="s">
        <v>18</v>
      </c>
      <c r="C22" s="2" t="s">
        <v>106</v>
      </c>
      <c r="D22" s="2" t="s">
        <v>107</v>
      </c>
      <c r="E22" s="3">
        <v>46009</v>
      </c>
      <c r="F22" s="2">
        <v>17.111000000000001</v>
      </c>
      <c r="G22" s="2" t="s">
        <v>53</v>
      </c>
      <c r="H22" s="2" t="s">
        <v>166</v>
      </c>
      <c r="I22" s="2" t="s">
        <v>62</v>
      </c>
    </row>
    <row r="23" spans="1:9" x14ac:dyDescent="0.25">
      <c r="A23" s="2" t="s">
        <v>36</v>
      </c>
      <c r="B23" s="2" t="s">
        <v>18</v>
      </c>
      <c r="C23" s="2" t="s">
        <v>106</v>
      </c>
      <c r="D23" s="2" t="s">
        <v>107</v>
      </c>
      <c r="E23" s="3">
        <v>46009</v>
      </c>
      <c r="F23" s="2">
        <v>17.111000000000001</v>
      </c>
      <c r="G23" s="2" t="s">
        <v>53</v>
      </c>
      <c r="H23" s="2" t="s">
        <v>166</v>
      </c>
      <c r="I23" s="2" t="s">
        <v>62</v>
      </c>
    </row>
    <row r="24" spans="1:9" x14ac:dyDescent="0.25">
      <c r="A24" s="2" t="s">
        <v>111</v>
      </c>
      <c r="B24" s="2" t="s">
        <v>18</v>
      </c>
      <c r="C24" s="2" t="s">
        <v>109</v>
      </c>
      <c r="D24" s="2" t="s">
        <v>110</v>
      </c>
      <c r="E24" s="3">
        <v>46014</v>
      </c>
      <c r="F24" s="2">
        <v>8.702</v>
      </c>
      <c r="G24" s="2" t="s">
        <v>29</v>
      </c>
      <c r="H24" s="2" t="s">
        <v>166</v>
      </c>
      <c r="I24" s="2" t="s">
        <v>25</v>
      </c>
    </row>
    <row r="25" spans="1:9" x14ac:dyDescent="0.25">
      <c r="A25" s="2" t="s">
        <v>116</v>
      </c>
      <c r="B25" s="2" t="s">
        <v>18</v>
      </c>
      <c r="C25" s="2" t="s">
        <v>114</v>
      </c>
      <c r="D25" s="2" t="s">
        <v>115</v>
      </c>
      <c r="E25" s="3">
        <v>46056</v>
      </c>
      <c r="F25" s="2">
        <v>1.8140000000000001</v>
      </c>
      <c r="G25" s="2" t="s">
        <v>29</v>
      </c>
      <c r="H25" s="2" t="s">
        <v>166</v>
      </c>
      <c r="I25" s="2" t="s">
        <v>41</v>
      </c>
    </row>
    <row r="26" spans="1:9" x14ac:dyDescent="0.25">
      <c r="A26" s="2" t="s">
        <v>116</v>
      </c>
      <c r="B26" s="2" t="s">
        <v>18</v>
      </c>
      <c r="C26" s="2" t="s">
        <v>121</v>
      </c>
      <c r="D26" s="2" t="s">
        <v>122</v>
      </c>
      <c r="E26" s="3">
        <v>46084</v>
      </c>
      <c r="F26" s="2">
        <v>9.9979999999999993</v>
      </c>
      <c r="G26" s="2" t="s">
        <v>29</v>
      </c>
      <c r="H26" s="2" t="s">
        <v>166</v>
      </c>
      <c r="I26" s="2" t="s">
        <v>25</v>
      </c>
    </row>
    <row r="27" spans="1:9" x14ac:dyDescent="0.25">
      <c r="A27" s="2" t="s">
        <v>126</v>
      </c>
      <c r="B27" s="2" t="s">
        <v>73</v>
      </c>
      <c r="C27" s="2" t="s">
        <v>124</v>
      </c>
      <c r="D27" s="2" t="s">
        <v>125</v>
      </c>
      <c r="E27" s="3">
        <v>46113</v>
      </c>
      <c r="F27" s="2">
        <v>9.8620000000000001</v>
      </c>
      <c r="G27" s="2" t="s">
        <v>29</v>
      </c>
      <c r="H27" s="2" t="s">
        <v>166</v>
      </c>
      <c r="I27" s="2" t="s">
        <v>25</v>
      </c>
    </row>
    <row r="28" spans="1:9" x14ac:dyDescent="0.25">
      <c r="A28" s="2" t="s">
        <v>103</v>
      </c>
      <c r="B28" s="2" t="s">
        <v>104</v>
      </c>
      <c r="C28" s="2" t="s">
        <v>128</v>
      </c>
      <c r="D28" s="2" t="s">
        <v>129</v>
      </c>
      <c r="E28" s="3">
        <v>46197</v>
      </c>
      <c r="F28" s="2">
        <v>19.062000000000001</v>
      </c>
      <c r="G28" s="2" t="s">
        <v>131</v>
      </c>
      <c r="H28" s="2" t="s">
        <v>166</v>
      </c>
      <c r="I28" s="2" t="s">
        <v>62</v>
      </c>
    </row>
    <row r="29" spans="1:9" x14ac:dyDescent="0.25">
      <c r="A29" s="2" t="s">
        <v>82</v>
      </c>
      <c r="B29" s="2" t="s">
        <v>104</v>
      </c>
      <c r="C29" s="2" t="s">
        <v>128</v>
      </c>
      <c r="D29" s="2" t="s">
        <v>129</v>
      </c>
      <c r="E29" s="3">
        <v>46197</v>
      </c>
      <c r="F29" s="2">
        <v>19.062000000000001</v>
      </c>
      <c r="G29" s="2" t="s">
        <v>131</v>
      </c>
      <c r="H29" s="2" t="s">
        <v>166</v>
      </c>
      <c r="I29" s="2" t="s">
        <v>62</v>
      </c>
    </row>
    <row r="30" spans="1:9" x14ac:dyDescent="0.25">
      <c r="A30" s="2" t="s">
        <v>149</v>
      </c>
      <c r="B30" s="2" t="s">
        <v>18</v>
      </c>
      <c r="C30" s="2" t="s">
        <v>134</v>
      </c>
      <c r="D30" s="2" t="s">
        <v>135</v>
      </c>
      <c r="E30" s="3">
        <v>46197</v>
      </c>
      <c r="F30" s="2">
        <v>7.36</v>
      </c>
      <c r="G30" s="2" t="s">
        <v>137</v>
      </c>
      <c r="H30" s="2" t="s">
        <v>166</v>
      </c>
      <c r="I30" s="2" t="s">
        <v>62</v>
      </c>
    </row>
    <row r="31" spans="1:9" x14ac:dyDescent="0.25">
      <c r="A31" s="2" t="s">
        <v>68</v>
      </c>
      <c r="B31" s="2" t="s">
        <v>18</v>
      </c>
      <c r="C31" s="2" t="s">
        <v>134</v>
      </c>
      <c r="D31" s="2" t="s">
        <v>135</v>
      </c>
      <c r="E31" s="3">
        <v>46197</v>
      </c>
      <c r="F31" s="2">
        <v>7.36</v>
      </c>
      <c r="G31" s="2" t="s">
        <v>137</v>
      </c>
      <c r="H31" s="2" t="s">
        <v>166</v>
      </c>
      <c r="I31" s="2" t="s">
        <v>62</v>
      </c>
    </row>
  </sheetData>
  <autoFilter ref="A1:I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45" customWidth="1"/>
  </cols>
  <sheetData>
    <row r="1" spans="1:2" x14ac:dyDescent="0.25">
      <c r="A1" s="1" t="s">
        <v>167</v>
      </c>
      <c r="B1" s="1" t="s">
        <v>168</v>
      </c>
    </row>
    <row r="2" spans="1:2" x14ac:dyDescent="0.25">
      <c r="A2" s="2" t="s">
        <v>169</v>
      </c>
      <c r="B2" s="2" t="s">
        <v>170</v>
      </c>
    </row>
    <row r="3" spans="1:2" x14ac:dyDescent="0.25">
      <c r="A3" s="2" t="s">
        <v>171</v>
      </c>
      <c r="B3" s="2">
        <v>22</v>
      </c>
    </row>
    <row r="4" spans="1:2" x14ac:dyDescent="0.25">
      <c r="A4" s="2" t="s">
        <v>172</v>
      </c>
      <c r="B4" s="2">
        <v>280.2484</v>
      </c>
    </row>
    <row r="5" spans="1:2" x14ac:dyDescent="0.25">
      <c r="A5" s="2" t="s">
        <v>173</v>
      </c>
      <c r="B5" s="2">
        <v>17</v>
      </c>
    </row>
    <row r="6" spans="1:2" x14ac:dyDescent="0.25">
      <c r="A6" s="2" t="s">
        <v>174</v>
      </c>
      <c r="B6" s="2">
        <v>232.1524</v>
      </c>
    </row>
    <row r="7" spans="1:2" x14ac:dyDescent="0.25">
      <c r="A7" s="2" t="s">
        <v>175</v>
      </c>
      <c r="B7" s="2">
        <v>5</v>
      </c>
    </row>
    <row r="8" spans="1:2" x14ac:dyDescent="0.25">
      <c r="A8" s="2" t="s">
        <v>176</v>
      </c>
      <c r="B8" s="2">
        <v>48.095999999999997</v>
      </c>
    </row>
    <row r="9" spans="1:2" x14ac:dyDescent="0.25">
      <c r="A9" s="2" t="s">
        <v>177</v>
      </c>
      <c r="B9" s="2">
        <v>6</v>
      </c>
    </row>
    <row r="10" spans="1:2" ht="75" x14ac:dyDescent="0.25">
      <c r="A10" s="2" t="s">
        <v>178</v>
      </c>
      <c r="B10" s="2" t="s">
        <v>179</v>
      </c>
    </row>
  </sheetData>
  <autoFilter ref="A1:B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2" width="45" customWidth="1"/>
  </cols>
  <sheetData>
    <row r="1" spans="1:2" ht="30" x14ac:dyDescent="0.25">
      <c r="A1" s="1" t="s">
        <v>180</v>
      </c>
      <c r="B1" s="1"/>
    </row>
    <row r="2" spans="1:2" ht="45" x14ac:dyDescent="0.25">
      <c r="A2" s="2" t="s">
        <v>181</v>
      </c>
      <c r="B2" s="2" t="s">
        <v>182</v>
      </c>
    </row>
    <row r="3" spans="1:2" ht="60" x14ac:dyDescent="0.25">
      <c r="A3" s="2" t="s">
        <v>183</v>
      </c>
      <c r="B3" s="2" t="s">
        <v>184</v>
      </c>
    </row>
    <row r="4" spans="1:2" ht="45" x14ac:dyDescent="0.25">
      <c r="A4" s="2" t="s">
        <v>185</v>
      </c>
      <c r="B4" s="2" t="s">
        <v>186</v>
      </c>
    </row>
    <row r="5" spans="1:2" ht="75" x14ac:dyDescent="0.25">
      <c r="A5" s="2" t="s">
        <v>187</v>
      </c>
      <c r="B5" s="2" t="s">
        <v>188</v>
      </c>
    </row>
    <row r="6" spans="1:2" ht="75" x14ac:dyDescent="0.25">
      <c r="A6" s="2" t="s">
        <v>10</v>
      </c>
      <c r="B6" s="2" t="s">
        <v>189</v>
      </c>
    </row>
    <row r="7" spans="1:2" ht="30" x14ac:dyDescent="0.25">
      <c r="A7" s="2" t="s">
        <v>190</v>
      </c>
      <c r="B7" s="2" t="s">
        <v>191</v>
      </c>
    </row>
    <row r="8" spans="1:2" ht="75" x14ac:dyDescent="0.25">
      <c r="A8" s="2" t="s">
        <v>192</v>
      </c>
      <c r="B8" s="2" t="s">
        <v>193</v>
      </c>
    </row>
  </sheetData>
  <autoFilter ref="A1:B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Database progetti</vt:lpstr>
      <vt:lpstr>Comuni target</vt:lpstr>
      <vt:lpstr>Relazione Comune-Progetto</vt:lpstr>
      <vt:lpstr>Sintesi</vt:lpstr>
      <vt:lpstr>Istruzioni</vt:lpstr>
      <vt:lpstr>'Comuni target'!Area_stampa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stefano.pagani</cp:lastModifiedBy>
  <cp:lastPrinted>2026-10-09T09:19:14Z</cp:lastPrinted>
  <dcterms:created xsi:type="dcterms:W3CDTF">2026-10-01T09:25:11Z</dcterms:created>
  <dcterms:modified xsi:type="dcterms:W3CDTF">2026-10-09T12:18:24Z</dcterms:modified>
</cp:coreProperties>
</file>